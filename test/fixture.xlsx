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追加" sheetId="1" r:id="rId1"/>
    <sheet name="原追減" sheetId="2" r:id="rId2"/>
    <sheet name="新增" sheetId="3" r:id="rId3"/>
    <sheet name="新增不議" sheetId="4" r:id="rId4"/>
    <sheet name="預算明細表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序</v>
      </c>
      <c r="B1" t="str">
        <v>項次</v>
      </c>
      <c r="C1" t="str">
        <v>工項名稱</v>
      </c>
      <c r="D1" t="str">
        <v>原數量</v>
      </c>
      <c r="E1" t="str">
        <v>單位</v>
      </c>
      <c r="F1" t="str">
        <v>單價</v>
      </c>
      <c r="G1" t="str">
        <v>數量</v>
      </c>
      <c r="H1" t="str">
        <v>金額</v>
      </c>
    </row>
    <row r="2">
      <c r="A2">
        <v>1</v>
      </c>
      <c r="B2" t="str">
        <v>B001</v>
      </c>
      <c r="C2" t="str">
        <v>混凝土</v>
      </c>
      <c r="D2">
        <v>10</v>
      </c>
      <c r="E2" t="str">
        <v>M3</v>
      </c>
      <c r="F2">
        <v>2000</v>
      </c>
      <c r="G2">
        <v>3</v>
      </c>
      <c r="H2">
        <v>6000</v>
      </c>
    </row>
    <row r="3">
      <c r="A3">
        <v>2</v>
      </c>
      <c r="B3" t="str">
        <v>B002</v>
      </c>
      <c r="C3" t="str">
        <v>鋼筋</v>
      </c>
      <c r="D3" t="str">
        <v/>
      </c>
      <c r="E3" t="str">
        <v>T</v>
      </c>
      <c r="F3">
        <v>50000</v>
      </c>
      <c r="G3">
        <v>0.5</v>
      </c>
      <c r="H3">
        <v>25000</v>
      </c>
    </row>
    <row r="4">
      <c r="A4">
        <v>3</v>
      </c>
      <c r="B4" t="str">
        <v>B003</v>
      </c>
      <c r="C4" t="str">
        <v>級配</v>
      </c>
      <c r="D4">
        <v>5</v>
      </c>
      <c r="E4" t="str">
        <v>M3</v>
      </c>
      <c r="F4">
        <v>1000</v>
      </c>
      <c r="G4">
        <v>4</v>
      </c>
      <c r="H4">
        <v>5000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序</v>
      </c>
      <c r="B1" t="str">
        <v>項次</v>
      </c>
      <c r="C1" t="str">
        <v>工項名稱</v>
      </c>
      <c r="D1" t="str">
        <v>原數量</v>
      </c>
      <c r="E1" t="str">
        <v>單位</v>
      </c>
      <c r="F1" t="str">
        <v>單價</v>
      </c>
      <c r="G1" t="str">
        <v>數量</v>
      </c>
      <c r="H1" t="str">
        <v>金額</v>
      </c>
    </row>
    <row r="2">
      <c r="A2">
        <v>1</v>
      </c>
      <c r="B2" t="str">
        <v>B010</v>
      </c>
      <c r="C2" t="str">
        <v>拆除</v>
      </c>
      <c r="D2" t="str">
        <v/>
      </c>
      <c r="E2" t="str">
        <v>式</v>
      </c>
      <c r="F2">
        <v>0</v>
      </c>
      <c r="G2">
        <v>1</v>
      </c>
      <c r="H2">
        <v>-8000</v>
      </c>
    </row>
    <row r="3">
      <c r="A3">
        <v>2</v>
      </c>
      <c r="B3" t="str">
        <v>B011</v>
      </c>
      <c r="C3" t="str">
        <v>回填</v>
      </c>
      <c r="D3">
        <v>20</v>
      </c>
      <c r="E3" t="str">
        <v>M3</v>
      </c>
      <c r="F3">
        <v>300</v>
      </c>
      <c r="G3">
        <v>-10</v>
      </c>
      <c r="H3">
        <v>-3000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序</v>
      </c>
      <c r="B1" t="str">
        <v>項次</v>
      </c>
      <c r="C1" t="str">
        <v>工項名稱</v>
      </c>
      <c r="D1" t="str">
        <v>原數量</v>
      </c>
      <c r="E1" t="str">
        <v>單位</v>
      </c>
      <c r="F1" t="str">
        <v>單價</v>
      </c>
      <c r="G1" t="str">
        <v>數量</v>
      </c>
      <c r="H1" t="str">
        <v>金額</v>
      </c>
    </row>
    <row r="2">
      <c r="A2">
        <v>1</v>
      </c>
      <c r="B2" t="str">
        <v>N001</v>
      </c>
      <c r="C2" t="str">
        <v>新設標誌</v>
      </c>
      <c r="D2" t="str">
        <v/>
      </c>
      <c r="E2" t="str">
        <v>面</v>
      </c>
      <c r="F2">
        <v>15000</v>
      </c>
      <c r="G2">
        <v>2</v>
      </c>
      <c r="H2">
        <v>30000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序</v>
      </c>
      <c r="B1" t="str">
        <v>項次</v>
      </c>
      <c r="C1" t="str">
        <v>工項名稱</v>
      </c>
      <c r="D1" t="str">
        <v>原數量</v>
      </c>
      <c r="E1" t="str">
        <v>單位</v>
      </c>
      <c r="F1" t="str">
        <v>單價</v>
      </c>
      <c r="G1" t="str">
        <v>數量</v>
      </c>
      <c r="H1" t="str">
        <v>金額</v>
      </c>
    </row>
    <row r="2">
      <c r="A2">
        <v>1</v>
      </c>
      <c r="B2" t="str">
        <v>N010</v>
      </c>
      <c r="C2" t="str">
        <v>臨時設施</v>
      </c>
      <c r="D2" t="str">
        <v/>
      </c>
      <c r="E2" t="str">
        <v>式</v>
      </c>
      <c r="F2">
        <v>0</v>
      </c>
      <c r="G2">
        <v>1</v>
      </c>
      <c r="H2">
        <v>50000</v>
      </c>
    </row>
  </sheetData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Data>
    <row r="1">
      <c r="A1" t="str">
        <v>工程名稱：測試工程</v>
      </c>
      <c r="B1" t="str">
        <v/>
      </c>
      <c r="C1" t="str">
        <v/>
      </c>
      <c r="D1" t="str">
        <v/>
      </c>
      <c r="E1" t="str">
        <v>第2次變更</v>
      </c>
    </row>
    <row r="2">
      <c r="A2" t="str">
        <v/>
      </c>
      <c r="B2" t="str">
        <v>項次</v>
      </c>
      <c r="C2" t="str">
        <v>工程項目</v>
      </c>
      <c r="D2" t="str">
        <v>規格</v>
      </c>
      <c r="E2" t="str">
        <v>單位</v>
      </c>
      <c r="F2" t="str">
        <v>數量</v>
      </c>
      <c r="G2" t="str">
        <v>單價</v>
      </c>
      <c r="H2" t="str">
        <v>金額</v>
      </c>
      <c r="I2" t="str">
        <v>數量</v>
      </c>
      <c r="J2" t="str">
        <v>單價</v>
      </c>
      <c r="K2" t="str">
        <v>金額</v>
      </c>
      <c r="L2" t="str">
        <v>數量</v>
      </c>
      <c r="M2" t="str">
        <v>單價</v>
      </c>
      <c r="N2" t="str">
        <v>金額</v>
      </c>
    </row>
    <row r="3">
      <c r="A3" t="str">
        <v/>
      </c>
      <c r="B3" t="str">
        <v>A.原有項目無追加減部分</v>
      </c>
    </row>
    <row r="4">
      <c r="A4" t="str">
        <v/>
      </c>
      <c r="B4" t="str">
        <v>0110A</v>
      </c>
      <c r="C4" t="str">
        <v>既有設施</v>
      </c>
      <c r="D4" t="str">
        <v/>
      </c>
      <c r="E4" t="str">
        <v>M</v>
      </c>
      <c r="F4">
        <v>10</v>
      </c>
      <c r="G4">
        <v>100</v>
      </c>
      <c r="H4">
        <f>F4*G4</f>
        <v>1000</v>
      </c>
      <c r="I4">
        <v>10</v>
      </c>
      <c r="J4">
        <v>100</v>
      </c>
      <c r="K4">
        <f>I4*J4</f>
        <v>1000</v>
      </c>
      <c r="L4">
        <v>0</v>
      </c>
      <c r="M4" t="str">
        <v/>
      </c>
      <c r="N4">
        <f>K4-H4</f>
        <v>0</v>
      </c>
    </row>
    <row r="5">
      <c r="A5" t="str">
        <v/>
      </c>
      <c r="B5" t="str">
        <v/>
      </c>
      <c r="C5" t="str">
        <v>計</v>
      </c>
    </row>
    <row r="6">
      <c r="A6" t="str">
        <v/>
      </c>
      <c r="B6" t="str">
        <v>B.原有項目追加部分</v>
      </c>
    </row>
    <row r="7">
      <c r="A7" t="str">
        <v/>
      </c>
      <c r="B7" t="str">
        <v>0111</v>
      </c>
      <c r="C7" t="str">
        <v>假設工程</v>
      </c>
      <c r="D7" t="str">
        <v/>
      </c>
      <c r="E7" t="str">
        <v/>
      </c>
      <c r="F7" t="str">
        <v/>
      </c>
      <c r="G7" t="str">
        <v/>
      </c>
      <c r="H7">
        <f>H8+H9</f>
        <v>190000</v>
      </c>
      <c r="I7" t="str">
        <v/>
      </c>
      <c r="J7" t="str">
        <v/>
      </c>
      <c r="K7">
        <f>K8+K9</f>
        <v>229000</v>
      </c>
      <c r="L7" t="str">
        <v/>
      </c>
      <c r="M7" t="str">
        <v/>
      </c>
      <c r="N7">
        <f>N8+N9</f>
        <v>39000</v>
      </c>
    </row>
    <row r="8">
      <c r="A8" t="str">
        <v/>
      </c>
      <c r="B8" t="str">
        <v>0111A</v>
      </c>
      <c r="C8" t="str">
        <v>排水溝</v>
      </c>
      <c r="D8" t="str">
        <v/>
      </c>
      <c r="E8" t="str">
        <v>M</v>
      </c>
      <c r="F8">
        <v>100</v>
      </c>
      <c r="G8">
        <v>1500</v>
      </c>
      <c r="H8">
        <f>F8*G8</f>
        <v>150000</v>
      </c>
      <c r="I8">
        <v>120</v>
      </c>
      <c r="J8">
        <v>1500</v>
      </c>
      <c r="K8">
        <f>I8*J8</f>
        <v>180000</v>
      </c>
      <c r="L8">
        <v>20</v>
      </c>
      <c r="M8" t="str">
        <v/>
      </c>
      <c r="N8">
        <f>K8-H8</f>
        <v>30000</v>
      </c>
    </row>
    <row r="9">
      <c r="A9" t="str">
        <v/>
      </c>
      <c r="B9" t="str">
        <v>0111B</v>
      </c>
      <c r="C9" t="str">
        <v>管溝</v>
      </c>
      <c r="D9" t="str">
        <v/>
      </c>
      <c r="E9" t="str">
        <v>M</v>
      </c>
      <c r="F9">
        <v>50</v>
      </c>
      <c r="G9">
        <v>800</v>
      </c>
      <c r="H9">
        <f>F9*G9</f>
        <v>40000</v>
      </c>
      <c r="I9">
        <v>60</v>
      </c>
      <c r="J9">
        <v>800</v>
      </c>
      <c r="K9">
        <v>49000</v>
      </c>
      <c r="L9">
        <v>10</v>
      </c>
      <c r="M9" t="str">
        <v/>
      </c>
      <c r="N9">
        <f>K9-H9</f>
        <v>9000</v>
      </c>
    </row>
    <row r="10">
      <c r="A10" t="str">
        <v/>
      </c>
      <c r="B10" t="str">
        <v>011</v>
      </c>
      <c r="C10" t="str">
        <v>包工費小計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>
        <f>N8+N9</f>
        <v>39000</v>
      </c>
    </row>
    <row r="11">
      <c r="A11" t="str">
        <v/>
      </c>
      <c r="B11" t="str">
        <v>012</v>
      </c>
      <c r="C11" t="str">
        <v>承商利潤及保險費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f>N10*0.1</f>
        <v>3900</v>
      </c>
    </row>
    <row r="12">
      <c r="A12" t="str">
        <v/>
      </c>
      <c r="B12" t="str">
        <v>013</v>
      </c>
      <c r="C12" t="str">
        <v>勞工安全衛生費用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f>N10*0.03</f>
        <v>1170</v>
      </c>
    </row>
    <row r="13">
      <c r="A13" t="str">
        <v/>
      </c>
      <c r="B13" t="str">
        <v>014</v>
      </c>
      <c r="C13" t="str">
        <v>品質管理費及材料檢驗費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f>N10*0.02</f>
        <v>780</v>
      </c>
    </row>
    <row r="14">
      <c r="A14" t="str">
        <v/>
      </c>
      <c r="B14" t="str">
        <v>0B1</v>
      </c>
      <c r="C14" t="str">
        <v>營業稅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f>ROUND((N10+N11+N12+N13)*0.05,0)</f>
        <v>4993</v>
      </c>
    </row>
    <row r="15">
      <c r="A15" t="str">
        <v/>
      </c>
      <c r="B15" t="str">
        <v/>
      </c>
      <c r="C15" t="str">
        <v>計</v>
      </c>
    </row>
    <row r="16">
      <c r="A16" t="str">
        <v/>
      </c>
      <c r="B16" t="str">
        <v>C.原有項目追減部分</v>
      </c>
    </row>
    <row r="17">
      <c r="A17" t="str">
        <v/>
      </c>
      <c r="B17" t="str">
        <v>0112A</v>
      </c>
      <c r="C17" t="str">
        <v>移除舊管</v>
      </c>
      <c r="D17" t="str">
        <v/>
      </c>
      <c r="E17" t="str">
        <v>M</v>
      </c>
      <c r="F17">
        <v>80</v>
      </c>
      <c r="G17">
        <v>600</v>
      </c>
      <c r="H17">
        <f>F17*G17</f>
        <v>48000</v>
      </c>
      <c r="I17">
        <v>65</v>
      </c>
      <c r="J17">
        <v>600</v>
      </c>
      <c r="K17">
        <f>I17*J17</f>
        <v>39000</v>
      </c>
      <c r="L17">
        <v>-15</v>
      </c>
      <c r="M17" t="str">
        <v/>
      </c>
      <c r="N17">
        <f>K17-H17</f>
        <v>-9000</v>
      </c>
    </row>
    <row r="18">
      <c r="A18" t="str">
        <v/>
      </c>
      <c r="B18" t="str">
        <v>0112B</v>
      </c>
      <c r="C18" t="str">
        <v>舊柵欄</v>
      </c>
      <c r="D18" t="str">
        <v/>
      </c>
      <c r="E18" t="str">
        <v>M</v>
      </c>
      <c r="F18">
        <v>30</v>
      </c>
      <c r="G18">
        <v>200</v>
      </c>
      <c r="H18">
        <f>F18*G18</f>
        <v>6000</v>
      </c>
      <c r="I18">
        <v>0</v>
      </c>
      <c r="J18">
        <v>200</v>
      </c>
      <c r="K18">
        <f>I18*J18</f>
        <v>0</v>
      </c>
      <c r="L18">
        <v>-30</v>
      </c>
      <c r="M18" t="str">
        <v/>
      </c>
      <c r="N18">
        <f>K18-H18</f>
        <v>-6000</v>
      </c>
    </row>
    <row r="19">
      <c r="A19" t="str">
        <v/>
      </c>
      <c r="B19" t="str">
        <v>011</v>
      </c>
      <c r="C19" t="str">
        <v>包工費小計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>
        <f>N17+N18</f>
        <v>-15000</v>
      </c>
    </row>
    <row r="20">
      <c r="A20" t="str">
        <v/>
      </c>
      <c r="B20" t="str">
        <v/>
      </c>
      <c r="C20" t="str">
        <v>計</v>
      </c>
    </row>
    <row r="21">
      <c r="A21" t="str">
        <v/>
      </c>
      <c r="B21" t="str">
        <v>D.新增項目部分(需議價)</v>
      </c>
    </row>
    <row r="22">
      <c r="A22" t="str">
        <v/>
      </c>
      <c r="B22" t="str">
        <v>N301</v>
      </c>
      <c r="C22" t="str">
        <v>新設柵欄</v>
      </c>
      <c r="D22" t="str">
        <v/>
      </c>
      <c r="E22" t="str">
        <v>M</v>
      </c>
      <c r="F22" t="str">
        <v/>
      </c>
      <c r="G22" t="str">
        <v/>
      </c>
      <c r="H22" t="str">
        <v/>
      </c>
      <c r="I22">
        <v>20</v>
      </c>
      <c r="J22">
        <v>2500</v>
      </c>
      <c r="K22">
        <f>I22*J22</f>
        <v>50000</v>
      </c>
      <c r="L22" t="str">
        <v/>
      </c>
      <c r="M22" t="str">
        <v/>
      </c>
      <c r="N22" t="str">
        <v/>
      </c>
    </row>
    <row r="23">
      <c r="A23" t="str">
        <v/>
      </c>
      <c r="B23" t="str">
        <v/>
      </c>
      <c r="C23" t="str">
        <v>計</v>
      </c>
    </row>
    <row r="24">
      <c r="A24" t="str">
        <v/>
      </c>
      <c r="B24" t="str">
        <v>E.新增項目部分(不議價)</v>
      </c>
    </row>
    <row r="25">
      <c r="A25" t="str">
        <v/>
      </c>
      <c r="B25" t="str">
        <v>N401</v>
      </c>
      <c r="C25" t="str">
        <v>臨時設施</v>
      </c>
      <c r="D25" t="str">
        <v/>
      </c>
      <c r="E25" t="str">
        <v>式</v>
      </c>
      <c r="F25" t="str">
        <v/>
      </c>
      <c r="G25" t="str">
        <v/>
      </c>
      <c r="H25" t="str">
        <v/>
      </c>
      <c r="I25">
        <v>1</v>
      </c>
      <c r="J25">
        <v>20000</v>
      </c>
      <c r="K25">
        <f>I25*J25</f>
        <v>20000</v>
      </c>
      <c r="L25" t="str">
        <v/>
      </c>
      <c r="M25" t="str">
        <v/>
      </c>
      <c r="N25" t="str">
        <v/>
      </c>
    </row>
    <row r="26">
      <c r="A26" t="str">
        <v/>
      </c>
      <c r="B26" t="str">
        <v/>
      </c>
      <c r="C26" t="str">
        <v>計</v>
      </c>
    </row>
  </sheetData>
  <ignoredErrors>
    <ignoredError numberStoredAsText="1" sqref="A1:N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原追加</vt:lpstr>
      <vt:lpstr>原追減</vt:lpstr>
      <vt:lpstr>新增</vt:lpstr>
      <vt:lpstr>新增不議</vt:lpstr>
      <vt:lpstr>預算明細表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